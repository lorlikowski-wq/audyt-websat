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belicaspzoo-my.sharepoint.com/personal/marcin_kolak_web-sat_pl/Documents/Pulpit/Audyt/"/>
    </mc:Choice>
  </mc:AlternateContent>
  <xr:revisionPtr revIDLastSave="104" documentId="13_ncr:1_{AAEFB9AF-39E5-4000-BF34-8AB195B5947A}" xr6:coauthVersionLast="47" xr6:coauthVersionMax="47" xr10:uidLastSave="{9E3A409A-1099-4930-A678-10A71646772E}"/>
  <bookViews>
    <workbookView xWindow="28680" yWindow="-120" windowWidth="29040" windowHeight="15840" xr2:uid="{00000000-000D-0000-FFFF-FFFF00000000}"/>
  </bookViews>
  <sheets>
    <sheet name="szablon paliwo audy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F4" i="2"/>
  <c r="H4" i="2" s="1"/>
  <c r="A10" i="2"/>
  <c r="B7" i="2"/>
  <c r="F3" i="2" s="1"/>
  <c r="H3" i="2" l="1"/>
  <c r="H5" i="2" s="1"/>
  <c r="I5" i="2" s="1"/>
  <c r="H6" i="2" s="1"/>
</calcChain>
</file>

<file path=xl/sharedStrings.xml><?xml version="1.0" encoding="utf-8"?>
<sst xmlns="http://schemas.openxmlformats.org/spreadsheetml/2006/main" count="24" uniqueCount="19">
  <si>
    <t>DANE:</t>
  </si>
  <si>
    <t>dystans</t>
  </si>
  <si>
    <t>km</t>
  </si>
  <si>
    <t>PRZEPALONE</t>
  </si>
  <si>
    <t>LITRY</t>
  </si>
  <si>
    <t>CENA ON</t>
  </si>
  <si>
    <t>SUMA PLN</t>
  </si>
  <si>
    <t>norma</t>
  </si>
  <si>
    <t>L</t>
  </si>
  <si>
    <t>średnie spalanie</t>
  </si>
  <si>
    <t>na postoju</t>
  </si>
  <si>
    <t>zuzycie na postoju</t>
  </si>
  <si>
    <t>SUMA PLN x 1</t>
  </si>
  <si>
    <t>zużycie can</t>
  </si>
  <si>
    <t>SUMA PLN x 10</t>
  </si>
  <si>
    <t>zużycie wg. normy</t>
  </si>
  <si>
    <t>PROCENT ZUŻYCIA PALIWA NA POSTOJU</t>
  </si>
  <si>
    <t xml:space="preserve">samo się oblicza - </t>
  </si>
  <si>
    <t xml:space="preserve">trzeba wpisać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</si>
</sst>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6" fillId="2" borderId="0" xfId="6"/>
    <xf numFmtId="2" fontId="6" fillId="2" borderId="10" xfId="6" applyNumberFormat="1" applyBorder="1"/>
    <xf numFmtId="2" fontId="8" fillId="4" borderId="10" xfId="8" applyNumberFormat="1" applyBorder="1"/>
    <xf numFmtId="0" fontId="8" fillId="4" borderId="0" xfId="8"/>
    <xf numFmtId="0" fontId="10" fillId="6" borderId="5" xfId="10"/>
    <xf numFmtId="0" fontId="0" fillId="35" borderId="14" xfId="0" applyFill="1" applyBorder="1"/>
    <xf numFmtId="164" fontId="6" fillId="2" borderId="10" xfId="6" applyNumberFormat="1" applyBorder="1"/>
    <xf numFmtId="2" fontId="0" fillId="0" borderId="0" xfId="0" applyNumberFormat="1"/>
    <xf numFmtId="0" fontId="0" fillId="33" borderId="11" xfId="0" applyFill="1" applyBorder="1" applyAlignment="1"/>
    <xf numFmtId="0" fontId="0" fillId="0" borderId="12" xfId="0" applyBorder="1" applyAlignment="1"/>
    <xf numFmtId="0" fontId="0" fillId="0" borderId="13" xfId="0" applyBorder="1" applyAlignme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B7" sqref="B7"/>
    </sheetView>
  </sheetViews>
  <sheetFormatPr defaultRowHeight="15"/>
  <cols>
    <col min="1" max="1" width="21.140625" customWidth="1"/>
    <col min="3" max="3" width="5.7109375" customWidth="1"/>
    <col min="4" max="4" width="1.42578125" customWidth="1"/>
    <col min="5" max="5" width="13.85546875" customWidth="1"/>
    <col min="6" max="6" width="13.5703125" customWidth="1"/>
    <col min="7" max="7" width="14.140625" customWidth="1"/>
    <col min="8" max="8" width="13.140625" customWidth="1"/>
    <col min="9" max="9" width="25.140625" hidden="1" customWidth="1"/>
  </cols>
  <sheetData>
    <row r="1" spans="1:9">
      <c r="A1" s="7" t="s">
        <v>0</v>
      </c>
    </row>
    <row r="2" spans="1:9">
      <c r="A2" s="1" t="s">
        <v>1</v>
      </c>
      <c r="B2" s="5">
        <v>3808</v>
      </c>
      <c r="C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8"/>
    </row>
    <row r="3" spans="1:9">
      <c r="A3" s="1" t="s">
        <v>7</v>
      </c>
      <c r="B3" s="5">
        <v>30</v>
      </c>
      <c r="C3" s="1" t="s">
        <v>8</v>
      </c>
      <c r="E3" s="2" t="s">
        <v>1</v>
      </c>
      <c r="F3" s="4">
        <f>B6-B7</f>
        <v>174.10000000000014</v>
      </c>
      <c r="G3" s="5">
        <v>6.4</v>
      </c>
      <c r="H3" s="4">
        <f>PRODUCT(F3*G4)</f>
        <v>1114.2400000000009</v>
      </c>
    </row>
    <row r="4" spans="1:9">
      <c r="A4" s="1" t="s">
        <v>9</v>
      </c>
      <c r="B4" s="5">
        <v>34.57</v>
      </c>
      <c r="C4" s="1" t="s">
        <v>8</v>
      </c>
      <c r="E4" s="2" t="s">
        <v>10</v>
      </c>
      <c r="F4" s="4">
        <f>B5</f>
        <v>16.47</v>
      </c>
      <c r="G4" s="4">
        <f>G3</f>
        <v>6.4</v>
      </c>
      <c r="H4" s="4">
        <f>PRODUCT(F4*G3)</f>
        <v>105.408</v>
      </c>
    </row>
    <row r="5" spans="1:9">
      <c r="A5" s="1" t="s">
        <v>11</v>
      </c>
      <c r="B5" s="5">
        <v>16.47</v>
      </c>
      <c r="C5" s="1" t="s">
        <v>8</v>
      </c>
      <c r="G5" s="7" t="s">
        <v>12</v>
      </c>
      <c r="H5" s="9">
        <f>SUM(H4+H3)</f>
        <v>1219.6480000000008</v>
      </c>
      <c r="I5" s="10">
        <f>ROUND(H5,2)</f>
        <v>1219.6500000000001</v>
      </c>
    </row>
    <row r="6" spans="1:9">
      <c r="A6" s="1" t="s">
        <v>13</v>
      </c>
      <c r="B6" s="5">
        <v>1316.5</v>
      </c>
      <c r="C6" s="1" t="s">
        <v>8</v>
      </c>
      <c r="G6" s="7" t="s">
        <v>14</v>
      </c>
      <c r="H6" s="9">
        <f>(I5*2)*10</f>
        <v>24393</v>
      </c>
    </row>
    <row r="7" spans="1:9">
      <c r="A7" s="1" t="s">
        <v>15</v>
      </c>
      <c r="B7" s="4">
        <f>PRODUCT((B2/100)*B3)</f>
        <v>1142.3999999999999</v>
      </c>
      <c r="C7" s="1" t="s">
        <v>8</v>
      </c>
    </row>
    <row r="9" spans="1:9">
      <c r="A9" s="11" t="s">
        <v>16</v>
      </c>
      <c r="B9" s="12"/>
      <c r="C9" s="13"/>
    </row>
    <row r="10" spans="1:9">
      <c r="A10" s="4">
        <f>SUM((B5/B6)*100)</f>
        <v>1.2510444360045574</v>
      </c>
    </row>
    <row r="13" spans="1:9">
      <c r="A13" t="s">
        <v>17</v>
      </c>
      <c r="B13" s="3"/>
    </row>
    <row r="14" spans="1:9">
      <c r="A14" t="s">
        <v>18</v>
      </c>
      <c r="B14" s="6"/>
    </row>
  </sheetData>
  <mergeCells count="1"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Łukasz Gorzędowski</dc:creator>
  <cp:keywords/>
  <dc:description/>
  <cp:lastModifiedBy>Łukasz Orlikowski</cp:lastModifiedBy>
  <cp:revision/>
  <dcterms:created xsi:type="dcterms:W3CDTF">2023-11-14T08:27:04Z</dcterms:created>
  <dcterms:modified xsi:type="dcterms:W3CDTF">2026-05-08T06:59:45Z</dcterms:modified>
  <cp:category/>
  <cp:contentStatus/>
</cp:coreProperties>
</file>